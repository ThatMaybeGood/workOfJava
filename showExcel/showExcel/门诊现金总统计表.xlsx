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<sst xmlns="http://schemas.openxmlformats.org/spreadsheetml/2006/main" count="49" uniqueCount="49">
  <si>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门诊现金总统计表</t>
  </si>
  <si>
    <t>序号</t>
  </si>
  <si>
    <t>姓名</t>
  </si>
  <si>
    <t>his预交金</t>
  </si>
  <si>
    <t>his医疗收入</t>
  </si>
  <si>
    <t>his挂号收入</t>
  </si>
  <si>
    <t>应交报表数</t>
  </si>
  <si>
    <t>前日暂收款</t>
  </si>
  <si>
    <t>实交报表数</t>
  </si>
  <si>
    <t>当日暂收款1</t>
  </si>
  <si>
    <t>实收现金数</t>
  </si>
  <si>
    <t>留存数差额</t>
  </si>
  <si>
    <t>留存现金数</t>
  </si>
  <si>
    <t>备用金</t>
  </si>
  <si>
    <t>备注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</si>
  <si>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</si>
  <si>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</si>
  <si>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</si>
  <si>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</si>
  <si>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</si>
  <si>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</si>
  <si>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</si>
  <si>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</si>
  <si>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</si>
  <si>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</si>
  <si>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</si>
  <si>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</si>
  <si>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会计室合计</t>
  </si>
  <si>
    <t>B2</t>
  </si>
  <si>
    <t>预约中心</t>
  </si>
  <si>
    <t>B3</t>
  </si>
  <si>
    <t>B4</t>
  </si>
  <si>
    <t>B5</t>
  </si>
  <si>
    <t>B6</t>
  </si>
  <si>
    <t>预约合计</t>
  </si>
  <si>
    <t>总计</t>
  </si>
  <si>
    <t>当日暂收款</t>
  </si>
  <si>
    <t>日报表数</t>
  </si>
  <si>
    <t>合计存款金额</t>
  </si>
  <si>
    <t>住院部当日借款</t>
  </si>
  <si>
    <t>住院部当日回款</t>
  </si>
  <si>
    <t>门诊当日借款</t>
  </si>
  <si>
    <t>门诊当日回款</t>
  </si>
  <si>
    <t>门诊当日抵扣报表金额</t>
  </si>
  <si>
    <t>门诊当日退主病房</t>
  </si>
  <si>
    <t>门诊当日退三住院部</t>
  </si>
  <si>
    <t>门诊当日实存金额</t>
  </si>
  <si>
    <t>审核：</t>
  </si>
  <si>
    <t>出纳：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</si>
</sst>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2" applyNumberFormat="0" applyAlignment="0" applyProtection="0">
      <alignment vertical="center"/>
    </xf>
    <xf numFmtId="0" fontId="10" fillId="5" borderId="13" applyNumberFormat="0" applyAlignment="0" applyProtection="0">
      <alignment vertical="center"/>
    </xf>
    <xf numFmtId="0" fontId="11" fillId="5" borderId="12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right" vertical="center"/>
    </xf>
    <xf numFmtId="0" fontId="0" fillId="0" borderId="3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tabSelected="1" zoomScale="70" zoomScaleNormal="70" workbookViewId="0">
      <selection activeCell="A35" sqref="$A35:$XFD1048576"/>
    </sheetView>
  </sheetViews>
  <sheetFormatPr defaultColWidth="20.6923076923077" defaultRowHeight="30" customHeight="1" zeroHeight="1"/>
  <cols>
    <col min="1" max="14" width="20.6923076923077" customWidth="1"/>
    <col min="15" max="16384" width="20.6923076923077" hidden="1" customWidth="1"/>
  </cols>
  <sheetData>
    <row r="1" ht="89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Height="1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5" t="s">
        <v>8</v>
      </c>
      <c r="I2" s="1" t="s">
        <v>9</v>
      </c>
      <c r="J2" s="5" t="s">
        <v>10</v>
      </c>
      <c r="K2" s="5" t="s">
        <v>11</v>
      </c>
      <c r="L2" s="1" t="s">
        <v>12</v>
      </c>
      <c r="M2" s="1" t="s">
        <v>13</v>
      </c>
      <c r="N2" s="1" t="s">
        <v>14</v>
      </c>
    </row>
    <row r="3" customHeight="1" spans="1:14">
      <c r="A3" s="1">
        <v>1</v>
      </c>
      <c r="B3" s="1" t="s">
        <v>15</v>
      </c>
      <c r="C3" s="1"/>
      <c r="D3" s="1"/>
      <c r="E3" s="1"/>
      <c r="F3" s="1">
        <v>3</v>
      </c>
      <c r="G3" s="1">
        <v>2</v>
      </c>
      <c r="H3" s="1">
        <f>F3-G3</f>
        <v>1</v>
      </c>
      <c r="I3" s="1">
        <v>5</v>
      </c>
      <c r="J3" s="1">
        <f>H3+I3</f>
        <v>6</v>
      </c>
      <c r="K3" s="1">
        <f>L3-H3-M3</f>
        <v>-1</v>
      </c>
      <c r="L3" s="1">
        <v>5000</v>
      </c>
      <c r="M3" s="1">
        <v>5000</v>
      </c>
      <c r="N3" s="1"/>
    </row>
    <row r="4" customHeight="1" spans="1:14">
      <c r="A4" s="1">
        <v>2</v>
      </c>
      <c r="B4" s="1" t="s">
        <v>16</v>
      </c>
      <c r="C4" s="1"/>
      <c r="D4" s="1"/>
      <c r="E4" s="1"/>
      <c r="F4" s="1"/>
      <c r="G4" s="1"/>
      <c r="H4" s="1">
        <f t="shared" ref="H4:H14" si="0">F4-G4</f>
        <v>0</v>
      </c>
      <c r="I4" s="1"/>
      <c r="J4" s="1">
        <f t="shared" ref="J4:J14" si="1">H4+I4</f>
        <v>0</v>
      </c>
      <c r="K4" s="1">
        <f t="shared" ref="K4:K14" si="2">L4-H4-M4</f>
        <v>0</v>
      </c>
      <c r="L4" s="1"/>
      <c r="M4" s="1"/>
      <c r="N4" s="1"/>
    </row>
    <row r="5" customHeight="1" spans="1:14">
      <c r="A5" s="1">
        <v>3</v>
      </c>
      <c r="B5" s="1" t="s">
        <v>17</v>
      </c>
      <c r="C5" s="1"/>
      <c r="D5" s="1"/>
      <c r="E5" s="1"/>
      <c r="F5" s="1"/>
      <c r="G5" s="1"/>
      <c r="H5" s="1">
        <f t="shared" si="0"/>
        <v>0</v>
      </c>
      <c r="I5" s="1"/>
      <c r="J5" s="1">
        <f t="shared" si="1"/>
        <v>0</v>
      </c>
      <c r="K5" s="1">
        <f t="shared" si="2"/>
        <v>0</v>
      </c>
      <c r="L5" s="1"/>
      <c r="M5" s="1"/>
      <c r="N5" s="1"/>
    </row>
    <row r="6" customHeight="1" spans="1:14">
      <c r="A6" s="1">
        <v>4</v>
      </c>
      <c r="B6" s="1" t="s">
        <v>18</v>
      </c>
      <c r="C6" s="1"/>
      <c r="D6" s="1"/>
      <c r="E6" s="1"/>
      <c r="F6" s="1"/>
      <c r="G6" s="1"/>
      <c r="H6" s="1">
        <f t="shared" si="0"/>
        <v>0</v>
      </c>
      <c r="I6" s="1"/>
      <c r="J6" s="1">
        <f t="shared" si="1"/>
        <v>0</v>
      </c>
      <c r="K6" s="1">
        <f t="shared" si="2"/>
        <v>0</v>
      </c>
      <c r="L6" s="1"/>
      <c r="M6" s="1"/>
      <c r="N6" s="1"/>
    </row>
    <row r="7" customHeight="1" spans="1:14">
      <c r="A7" s="1">
        <v>5</v>
      </c>
      <c r="B7" s="1" t="s">
        <v>19</v>
      </c>
      <c r="C7" s="1"/>
      <c r="D7" s="1"/>
      <c r="E7" s="1"/>
      <c r="F7" s="1"/>
      <c r="G7" s="1"/>
      <c r="H7" s="1">
        <f t="shared" si="0"/>
        <v>0</v>
      </c>
      <c r="I7" s="1"/>
      <c r="J7" s="1">
        <f t="shared" si="1"/>
        <v>0</v>
      </c>
      <c r="K7" s="1">
        <f t="shared" si="2"/>
        <v>0</v>
      </c>
      <c r="L7" s="1"/>
      <c r="M7" s="1"/>
      <c r="N7" s="1"/>
    </row>
    <row r="8" customHeight="1" spans="1:14">
      <c r="A8" s="1">
        <v>6</v>
      </c>
      <c r="B8" s="1" t="s">
        <v>20</v>
      </c>
      <c r="C8" s="1"/>
      <c r="D8" s="1"/>
      <c r="E8" s="1"/>
      <c r="F8" s="1"/>
      <c r="G8" s="1"/>
      <c r="H8" s="1">
        <f t="shared" si="0"/>
        <v>0</v>
      </c>
      <c r="I8" s="1"/>
      <c r="J8" s="1">
        <f t="shared" si="1"/>
        <v>0</v>
      </c>
      <c r="K8" s="1">
        <f t="shared" si="2"/>
        <v>0</v>
      </c>
      <c r="L8" s="1"/>
      <c r="M8" s="1"/>
      <c r="N8" s="1"/>
    </row>
    <row r="9" customHeight="1" spans="1:14">
      <c r="A9" s="1">
        <v>7</v>
      </c>
      <c r="B9" s="1" t="s">
        <v>21</v>
      </c>
      <c r="C9" s="1"/>
      <c r="D9" s="1"/>
      <c r="E9" s="1"/>
      <c r="F9" s="1"/>
      <c r="G9" s="1"/>
      <c r="H9" s="1">
        <f t="shared" si="0"/>
        <v>0</v>
      </c>
      <c r="I9" s="1"/>
      <c r="J9" s="1">
        <f t="shared" si="1"/>
        <v>0</v>
      </c>
      <c r="K9" s="1">
        <f t="shared" si="2"/>
        <v>0</v>
      </c>
      <c r="L9" s="1"/>
      <c r="M9" s="1"/>
      <c r="N9" s="1"/>
    </row>
    <row r="10" customHeight="1" spans="1:14">
      <c r="A10" s="1">
        <v>8</v>
      </c>
      <c r="B10" s="1" t="s">
        <v>22</v>
      </c>
      <c r="C10" s="1">
        <v>3</v>
      </c>
      <c r="D10" s="1"/>
      <c r="E10" s="1"/>
      <c r="F10" s="1"/>
      <c r="G10" s="1"/>
      <c r="H10" s="1">
        <f t="shared" si="0"/>
        <v>0</v>
      </c>
      <c r="I10" s="1"/>
      <c r="J10" s="1">
        <f t="shared" si="1"/>
        <v>0</v>
      </c>
      <c r="K10" s="1">
        <f t="shared" si="2"/>
        <v>0</v>
      </c>
      <c r="L10" s="1"/>
      <c r="M10" s="1"/>
      <c r="N10" s="1"/>
    </row>
    <row r="11" customHeight="1" spans="1:14">
      <c r="A11" s="1">
        <v>9</v>
      </c>
      <c r="B11" s="1" t="s">
        <v>23</v>
      </c>
      <c r="C11" s="1"/>
      <c r="D11" s="1">
        <v>6</v>
      </c>
      <c r="E11" s="1"/>
      <c r="F11" s="1"/>
      <c r="G11" s="1"/>
      <c r="H11" s="1">
        <f t="shared" si="0"/>
        <v>0</v>
      </c>
      <c r="I11" s="1"/>
      <c r="J11" s="1">
        <f t="shared" si="1"/>
        <v>0</v>
      </c>
      <c r="K11" s="1">
        <v>400</v>
      </c>
      <c r="L11" s="1">
        <v>700</v>
      </c>
      <c r="M11" s="1"/>
      <c r="N11" s="1"/>
    </row>
    <row r="12" customHeight="1" spans="1:14">
      <c r="A12" s="1">
        <v>10</v>
      </c>
      <c r="B12" s="1" t="s">
        <v>24</v>
      </c>
      <c r="C12" s="1"/>
      <c r="D12" s="1"/>
      <c r="E12" s="1"/>
      <c r="F12" s="1"/>
      <c r="G12" s="1"/>
      <c r="H12" s="1">
        <f t="shared" si="0"/>
        <v>0</v>
      </c>
      <c r="I12" s="1"/>
      <c r="J12" s="1">
        <f t="shared" si="1"/>
        <v>0</v>
      </c>
      <c r="K12" s="1">
        <f t="shared" si="2"/>
        <v>500</v>
      </c>
      <c r="L12" s="1">
        <v>600</v>
      </c>
      <c r="M12" s="1">
        <v>100</v>
      </c>
      <c r="N12" s="1"/>
    </row>
    <row r="13" customHeight="1" spans="1:14">
      <c r="A13" s="1">
        <v>11</v>
      </c>
      <c r="B13" s="1" t="s">
        <v>25</v>
      </c>
      <c r="C13" s="1"/>
      <c r="D13" s="1"/>
      <c r="E13" s="1"/>
      <c r="F13" s="1"/>
      <c r="G13" s="1"/>
      <c r="H13" s="1">
        <f t="shared" si="0"/>
        <v>0</v>
      </c>
      <c r="I13" s="1"/>
      <c r="J13" s="1">
        <f t="shared" si="1"/>
        <v>0</v>
      </c>
      <c r="K13" s="1">
        <f t="shared" si="2"/>
        <v>-100</v>
      </c>
      <c r="L13" s="1">
        <v>700</v>
      </c>
      <c r="M13" s="1">
        <v>800</v>
      </c>
      <c r="N13" s="1"/>
    </row>
    <row r="14" customHeight="1" spans="1:14">
      <c r="A14" s="1">
        <v>12</v>
      </c>
      <c r="B14" s="1" t="s">
        <v>26</v>
      </c>
      <c r="C14" s="1"/>
      <c r="D14" s="1"/>
      <c r="E14" s="1"/>
      <c r="F14" s="1"/>
      <c r="G14" s="1"/>
      <c r="H14" s="1">
        <f t="shared" si="0"/>
        <v>0</v>
      </c>
      <c r="I14" s="1"/>
      <c r="J14" s="1">
        <f t="shared" si="1"/>
        <v>0</v>
      </c>
      <c r="K14" s="1">
        <f t="shared" si="2"/>
        <v>0</v>
      </c>
      <c r="L14" s="1"/>
      <c r="M14" s="1"/>
      <c r="N14" s="1"/>
    </row>
    <row r="15" customHeight="1" spans="1:14">
      <c r="A15" s="1" t="s">
        <v>27</v>
      </c>
      <c r="B15" s="1"/>
      <c r="C15" s="1">
        <f>SUM(C3:C14)</f>
        <v>3</v>
      </c>
      <c r="D15" s="1">
        <f>SUM(D3:D14)</f>
        <v>6</v>
      </c>
      <c r="E15" s="1">
        <f t="shared" ref="E15:K15" si="3">SUM(E3:E14)</f>
        <v>0</v>
      </c>
      <c r="F15" s="1">
        <f t="shared" si="3"/>
        <v>3</v>
      </c>
      <c r="G15" s="1">
        <f t="shared" si="3"/>
        <v>2</v>
      </c>
      <c r="H15" s="1">
        <f t="shared" si="3"/>
        <v>1</v>
      </c>
      <c r="I15" s="1">
        <f t="shared" si="3"/>
        <v>5</v>
      </c>
      <c r="J15" s="1">
        <f t="shared" si="3"/>
        <v>6</v>
      </c>
      <c r="K15" s="1">
        <f t="shared" si="3"/>
        <v>799</v>
      </c>
      <c r="L15" s="1">
        <f>SUM(L3:L14)</f>
        <v>7000</v>
      </c>
      <c r="M15" s="1">
        <f>SUM(M3:M14)</f>
        <v>5900</v>
      </c>
      <c r="N15" s="1"/>
    </row>
    <row r="16" customHeight="1" spans="1:14">
      <c r="A16" s="1">
        <v>1</v>
      </c>
      <c r="B16" s="1" t="s">
        <v>28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6" t="s">
        <v>29</v>
      </c>
      <c r="N16" s="7"/>
    </row>
    <row r="17" customHeight="1" spans="1:14">
      <c r="A17" s="1">
        <v>2</v>
      </c>
      <c r="B17" s="1" t="s">
        <v>30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8"/>
      <c r="N17" s="9"/>
    </row>
    <row r="18" customHeight="1" spans="1:14">
      <c r="A18" s="1">
        <v>3</v>
      </c>
      <c r="B18" s="1" t="s">
        <v>31</v>
      </c>
      <c r="C18" s="1"/>
      <c r="D18" s="1"/>
      <c r="E18" s="1"/>
      <c r="F18" s="1"/>
      <c r="G18" s="1"/>
      <c r="H18" s="1"/>
      <c r="I18" s="1"/>
      <c r="J18" s="1"/>
      <c r="K18" s="1"/>
      <c r="L18" s="1">
        <v>900</v>
      </c>
      <c r="M18" s="8"/>
      <c r="N18" s="9"/>
    </row>
    <row r="19" customHeight="1" spans="1:14">
      <c r="A19" s="1">
        <v>4</v>
      </c>
      <c r="B19" s="1" t="s">
        <v>32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8"/>
      <c r="N19" s="9"/>
    </row>
    <row r="20" customHeight="1" spans="1:14">
      <c r="A20" s="1">
        <v>5</v>
      </c>
      <c r="B20" s="1" t="s">
        <v>33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8"/>
      <c r="N20" s="9"/>
    </row>
    <row r="21" customHeight="1" spans="1:14">
      <c r="A21" s="1" t="s">
        <v>34</v>
      </c>
      <c r="B21" s="1"/>
      <c r="C21" s="1">
        <f>SUM(C16:C20)</f>
        <v>0</v>
      </c>
      <c r="D21" s="1">
        <f t="shared" ref="D21:M21" si="4">SUM(D16:D20)</f>
        <v>0</v>
      </c>
      <c r="E21" s="1">
        <f t="shared" si="4"/>
        <v>0</v>
      </c>
      <c r="F21" s="1">
        <f t="shared" si="4"/>
        <v>0</v>
      </c>
      <c r="G21" s="1">
        <f t="shared" si="4"/>
        <v>0</v>
      </c>
      <c r="H21" s="1">
        <f t="shared" si="4"/>
        <v>0</v>
      </c>
      <c r="I21" s="1">
        <f t="shared" si="4"/>
        <v>0</v>
      </c>
      <c r="J21" s="1">
        <f t="shared" si="4"/>
        <v>0</v>
      </c>
      <c r="K21" s="1">
        <f t="shared" si="4"/>
        <v>0</v>
      </c>
      <c r="L21" s="1">
        <f t="shared" si="4"/>
        <v>900</v>
      </c>
      <c r="M21" s="8"/>
      <c r="N21" s="9"/>
    </row>
    <row r="22" customHeight="1" spans="1:14">
      <c r="A22" s="1" t="s">
        <v>35</v>
      </c>
      <c r="B22" s="1"/>
      <c r="C22" s="1">
        <f>SUM(C15,C21)</f>
        <v>3</v>
      </c>
      <c r="D22" s="1">
        <f t="shared" ref="D22:L22" si="5">SUM(D15,D21)</f>
        <v>6</v>
      </c>
      <c r="E22" s="1">
        <f t="shared" si="5"/>
        <v>0</v>
      </c>
      <c r="F22" s="1">
        <f t="shared" si="5"/>
        <v>3</v>
      </c>
      <c r="G22" s="1">
        <f t="shared" si="5"/>
        <v>2</v>
      </c>
      <c r="H22" s="1">
        <f t="shared" si="5"/>
        <v>1</v>
      </c>
      <c r="I22" s="1">
        <f t="shared" si="5"/>
        <v>5</v>
      </c>
      <c r="J22" s="1">
        <f t="shared" si="5"/>
        <v>6</v>
      </c>
      <c r="K22" s="1">
        <f t="shared" si="5"/>
        <v>799</v>
      </c>
      <c r="L22" s="1">
        <f t="shared" si="5"/>
        <v>7900</v>
      </c>
      <c r="M22" s="10"/>
      <c r="N22" s="11"/>
    </row>
    <row r="23" customHeight="1" spans="1:14">
      <c r="A23" s="1" t="s">
        <v>36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customHeight="1" spans="1:14">
      <c r="A24" s="1" t="s">
        <v>37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customHeight="1" spans="1:14">
      <c r="A25" s="1" t="s">
        <v>38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customHeight="1" spans="1:14">
      <c r="A26" s="1" t="s">
        <v>39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customHeight="1" spans="1:14">
      <c r="A27" s="1" t="s">
        <v>40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customHeight="1" spans="1:14">
      <c r="A28" s="1" t="s">
        <v>41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customHeight="1" spans="1:14">
      <c r="A29" s="1" t="s">
        <v>42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customHeight="1" spans="1:14">
      <c r="A30" s="1" t="s">
        <v>43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customHeight="1" spans="1:14">
      <c r="A31" s="1" t="s">
        <v>44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customHeight="1" spans="1:14">
      <c r="A32" s="1" t="s">
        <v>45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Height="1" spans="1:14">
      <c r="A33" s="1" t="s">
        <v>46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Height="1" spans="1:14">
      <c r="A34" s="2"/>
      <c r="B34" s="3" t="s">
        <v>47</v>
      </c>
      <c r="C34" s="4"/>
      <c r="D34" s="4"/>
      <c r="E34" s="4"/>
      <c r="F34" s="4"/>
      <c r="G34" s="4"/>
      <c r="H34" s="4"/>
      <c r="I34" s="4"/>
      <c r="J34" s="4"/>
      <c r="K34" s="4" t="s">
        <v>48</v>
      </c>
      <c r="L34" s="4"/>
      <c r="M34" s="4"/>
      <c r="N34" s="12"/>
    </row>
  </sheetData>
  <mergeCells count="16">
    <mergeCell ref="A1:N1"/>
    <mergeCell ref="A15:B15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M16:N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yanqunzhang</dc:creator>
  <cp:lastModifiedBy>Solitude</cp:lastModifiedBy>
  <dcterms:created xsi:type="dcterms:W3CDTF">2025-10-28T09:59:20Z</dcterms:created>
  <dcterms:modified xsi:type="dcterms:W3CDTF">2025-10-28T10:54:06Z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661A402FCFDD610B78230069C2E202DC_41</vt:lpwstr>
  </property>
  <property fmtid="{D5CDD505-2E9C-101B-9397-08002B2CF9AE}" pid="3" name="KSOProductBuildVer">
    <vt:lpwstr>2052-12.1.23141.23141</vt:lpwstr>
  </property>
</Properties>
</file>