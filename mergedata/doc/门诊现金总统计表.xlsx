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86156\Desktop\门诊现金统计表\"/>
    </mc:Choice>
  </mc:AlternateContent>
  <xr:revisionPtr revIDLastSave="0" documentId="13_ncr:1_{20051774-0199-4095-A49E-E5BD19C413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23" i="1"/>
  <c r="C22" i="1"/>
  <c r="F5" i="1"/>
  <c r="F6" i="1"/>
  <c r="I6" i="1" s="1"/>
  <c r="L6" i="1" s="1"/>
  <c r="F7" i="1"/>
  <c r="F8" i="1"/>
  <c r="I8" i="1" s="1"/>
  <c r="L8" i="1" s="1"/>
  <c r="F9" i="1"/>
  <c r="F10" i="1"/>
  <c r="F11" i="1"/>
  <c r="F12" i="1"/>
  <c r="F13" i="1"/>
  <c r="F14" i="1"/>
  <c r="F15" i="1"/>
  <c r="F16" i="1"/>
  <c r="I16" i="1" s="1"/>
  <c r="F17" i="1"/>
  <c r="I17" i="1" s="1"/>
  <c r="F18" i="1"/>
  <c r="I18" i="1" s="1"/>
  <c r="F19" i="1"/>
  <c r="I19" i="1" s="1"/>
  <c r="F20" i="1"/>
  <c r="I20" i="1" s="1"/>
  <c r="F4" i="1"/>
  <c r="N21" i="1"/>
  <c r="D21" i="1"/>
  <c r="E21" i="1"/>
  <c r="F21" i="1" s="1"/>
  <c r="G21" i="1"/>
  <c r="H21" i="1"/>
  <c r="J21" i="1"/>
  <c r="M21" i="1"/>
  <c r="C21" i="1"/>
  <c r="I9" i="1"/>
  <c r="L9" i="1" s="1"/>
  <c r="I10" i="1"/>
  <c r="L10" i="1" s="1"/>
  <c r="I11" i="1"/>
  <c r="L11" i="1" s="1"/>
  <c r="I12" i="1"/>
  <c r="K12" i="1" s="1"/>
  <c r="I13" i="1"/>
  <c r="K13" i="1" s="1"/>
  <c r="I14" i="1"/>
  <c r="L14" i="1" s="1"/>
  <c r="I15" i="1"/>
  <c r="L15" i="1" s="1"/>
  <c r="I7" i="1"/>
  <c r="L7" i="1" s="1"/>
  <c r="I5" i="1"/>
  <c r="L5" i="1" s="1"/>
  <c r="L17" i="1" l="1"/>
  <c r="K17" i="1"/>
  <c r="L16" i="1"/>
  <c r="K16" i="1"/>
  <c r="K20" i="1"/>
  <c r="L20" i="1"/>
  <c r="K19" i="1"/>
  <c r="L19" i="1"/>
  <c r="L18" i="1"/>
  <c r="K18" i="1"/>
  <c r="I4" i="1"/>
  <c r="K14" i="1"/>
  <c r="K6" i="1"/>
  <c r="K10" i="1"/>
  <c r="K5" i="1"/>
  <c r="K9" i="1"/>
  <c r="L13" i="1"/>
  <c r="K15" i="1"/>
  <c r="K7" i="1"/>
  <c r="K11" i="1"/>
  <c r="K8" i="1"/>
  <c r="L4" i="1" l="1"/>
  <c r="L21" i="1" s="1"/>
  <c r="I21" i="1"/>
  <c r="K4" i="1"/>
  <c r="K21" i="1" s="1"/>
</calcChain>
</file>

<file path=xl/sharedStrings.xml><?xml version="1.0" encoding="utf-8"?>
<sst xmlns="http://schemas.openxmlformats.org/spreadsheetml/2006/main" count="48" uniqueCount="48">
  <si>
    <t>门诊现金总统计表</t>
  </si>
  <si>
    <t>序号</t>
  </si>
  <si>
    <t>姓名</t>
  </si>
  <si>
    <t>his预交金</t>
  </si>
  <si>
    <t>his医疗收入</t>
  </si>
  <si>
    <t>his挂号收入</t>
  </si>
  <si>
    <r>
      <t>应交报表数</t>
    </r>
    <r>
      <rPr>
        <sz val="11"/>
        <color theme="1"/>
        <rFont val="宋体"/>
        <family val="3"/>
        <charset val="134"/>
      </rPr>
      <t>①</t>
    </r>
  </si>
  <si>
    <r>
      <t>前日暂收款</t>
    </r>
    <r>
      <rPr>
        <sz val="11"/>
        <color theme="1"/>
        <rFont val="宋体"/>
        <family val="3"/>
        <charset val="134"/>
      </rPr>
      <t>②</t>
    </r>
  </si>
  <si>
    <r>
      <t>实收现金数</t>
    </r>
    <r>
      <rPr>
        <sz val="11"/>
        <color theme="1"/>
        <rFont val="PingFang SC"/>
        <family val="1"/>
      </rPr>
      <t>⑤</t>
    </r>
    <r>
      <rPr>
        <sz val="11"/>
        <color theme="1"/>
        <rFont val="宋体"/>
        <family val="3"/>
        <charset val="134"/>
        <scheme val="minor"/>
      </rPr>
      <t>=</t>
    </r>
    <r>
      <rPr>
        <sz val="11"/>
        <color theme="1"/>
        <rFont val="PingFang SC"/>
        <family val="1"/>
      </rPr>
      <t>③</t>
    </r>
    <r>
      <rPr>
        <sz val="11"/>
        <color theme="1"/>
        <rFont val="宋体"/>
        <family val="3"/>
        <charset val="134"/>
        <scheme val="minor"/>
      </rPr>
      <t>+</t>
    </r>
    <r>
      <rPr>
        <sz val="11"/>
        <color theme="1"/>
        <rFont val="PingFang SC"/>
        <family val="1"/>
      </rPr>
      <t>④</t>
    </r>
  </si>
  <si>
    <r>
      <t>留存数差额</t>
    </r>
    <r>
      <rPr>
        <sz val="11"/>
        <color theme="1"/>
        <rFont val="PingFang SC"/>
        <family val="1"/>
      </rPr>
      <t>⑥</t>
    </r>
    <r>
      <rPr>
        <sz val="11"/>
        <color theme="1"/>
        <rFont val="宋体"/>
        <family val="3"/>
        <charset val="134"/>
        <scheme val="minor"/>
      </rPr>
      <t>=⑦-③-⑧</t>
    </r>
  </si>
  <si>
    <r>
      <t>留存现金数</t>
    </r>
    <r>
      <rPr>
        <sz val="11"/>
        <color theme="1"/>
        <rFont val="PingFang SC"/>
        <family val="1"/>
      </rPr>
      <t>⑦</t>
    </r>
  </si>
  <si>
    <r>
      <t>备用金</t>
    </r>
    <r>
      <rPr>
        <sz val="11"/>
        <color theme="1"/>
        <rFont val="PingFang SC"/>
        <family val="1"/>
      </rPr>
      <t>⑧</t>
    </r>
  </si>
  <si>
    <t>备注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</si>
  <si>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</si>
  <si>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</si>
  <si>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</si>
  <si>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</si>
  <si>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</si>
  <si>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</si>
  <si>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</si>
  <si>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</si>
  <si>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</si>
  <si>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</si>
  <si>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</si>
  <si>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</si>
  <si>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B2</t>
  </si>
  <si>
    <t>B3</t>
  </si>
  <si>
    <t>B4</t>
  </si>
  <si>
    <t>B5</t>
  </si>
  <si>
    <t>B6</t>
  </si>
  <si>
    <t>总计</t>
  </si>
  <si>
    <t>当日暂收款</t>
  </si>
  <si>
    <t>日报表数</t>
  </si>
  <si>
    <t>合计存款金额</t>
  </si>
  <si>
    <t>住院部当日借款</t>
  </si>
  <si>
    <t>住院部当日回款</t>
  </si>
  <si>
    <t>门诊当日借款</t>
  </si>
  <si>
    <t>门诊当日回款</t>
  </si>
  <si>
    <t>门诊当日实存金额</t>
  </si>
  <si>
    <t>审核：</t>
  </si>
  <si>
    <t>出纳：</t>
  </si>
  <si>
    <r>
      <t>节假日暂收款</t>
    </r>
    <r>
      <rPr>
        <sz val="11"/>
        <color theme="1"/>
        <rFont val="等线"/>
        <family val="3"/>
        <charset val="134"/>
      </rPr>
      <t>x</t>
    </r>
    <phoneticPr fontId="5" type="noConversion"/>
  </si>
  <si>
    <r>
      <t>实交报表数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宋体"/>
        <family val="3"/>
        <charset val="134"/>
        <scheme val="minor"/>
      </rPr>
      <t>=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</rPr>
      <t>②</t>
    </r>
    <phoneticPr fontId="5" type="noConversion"/>
  </si>
  <si>
    <r>
      <t>当日暂收款</t>
    </r>
    <r>
      <rPr>
        <sz val="11"/>
        <color theme="1"/>
        <rFont val="宋体"/>
        <family val="1"/>
        <charset val="134"/>
      </rPr>
      <t>④</t>
    </r>
    <phoneticPr fontId="5" type="noConversion"/>
  </si>
  <si>
    <t>1、标记绿色的标题列可修改，即可手工输入数字，2、如果是周五（节假日前一天）{实交报表数③=①-②-④}，如果是周一（节假日正常工作日当天）{实交报表数③=①-④(周五)-sum(X)(周五+周六+周末)}，周六周日{实交报表数③=①-x)</t>
    <phoneticPr fontId="5" type="noConversion"/>
  </si>
  <si>
    <t>门诊当日抵扣报表金额</t>
    <phoneticPr fontId="5" type="noConversion"/>
  </si>
  <si>
    <t>门诊当日退主病房</t>
    <phoneticPr fontId="5" type="noConversion"/>
  </si>
  <si>
    <t>门诊当日退三住院部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</si>
</sst>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10">
    <font>
      <sz val="11"/>
      <color theme="1"/>
      <name val="宋体"/>
      <charset val="134"/>
      <scheme val="minor"/>
    </font>
    <font>
      <b/>
      <sz val="36"/>
      <color theme="1"/>
      <name val="宋体"/>
      <family val="3"/>
      <charset val="134"/>
      <scheme val="minor"/>
    </font>
    <font>
      <sz val="11"/>
      <color theme="1"/>
      <name val="PingFang SC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22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color theme="0" tint="-0.1499984740745262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0" xfId="0" applyFill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55" zoomScaleNormal="55" workbookViewId="0">
      <pane ySplit="3" topLeftCell="A16" activePane="bottomLeft" state="frozen"/>
      <selection pane="bottomLeft" activeCell="J26" sqref="J26"/>
    </sheetView>
  </sheetViews>
  <sheetFormatPr defaultColWidth="0" defaultRowHeight="16.8" customHeight="1" zeroHeight="1"/>
  <cols>
    <col min="1" max="11" width="20.6640625" customWidth="1"/>
    <col min="12" max="12" width="39.77734375" customWidth="1"/>
    <col min="13" max="15" width="20.6640625" customWidth="1"/>
    <col min="16" max="16" width="20.6640625" hidden="1" customWidth="1"/>
    <col min="17" max="16384" width="20.6640625" hidden="1"/>
  </cols>
  <sheetData>
    <row r="1" spans="1:15" s="17" customFormat="1" ht="108" customHeight="1">
      <c r="A1" s="16" t="s">
        <v>44</v>
      </c>
    </row>
    <row r="2" spans="1:15" ht="52.2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30" customHeight="1">
      <c r="A3" s="1" t="s">
        <v>1</v>
      </c>
      <c r="B3" s="1" t="s">
        <v>2</v>
      </c>
      <c r="C3" s="7" t="s">
        <v>3</v>
      </c>
      <c r="D3" s="8" t="s">
        <v>4</v>
      </c>
      <c r="E3" s="1" t="s">
        <v>5</v>
      </c>
      <c r="F3" s="1" t="s">
        <v>6</v>
      </c>
      <c r="G3" s="1" t="s">
        <v>7</v>
      </c>
      <c r="H3" s="7" t="s">
        <v>41</v>
      </c>
      <c r="I3" s="9" t="s">
        <v>42</v>
      </c>
      <c r="J3" s="7" t="s">
        <v>43</v>
      </c>
      <c r="K3" s="2" t="s">
        <v>8</v>
      </c>
      <c r="L3" s="2" t="s">
        <v>9</v>
      </c>
      <c r="M3" s="1" t="s">
        <v>10</v>
      </c>
      <c r="N3" s="8" t="s">
        <v>11</v>
      </c>
      <c r="O3" s="1" t="s">
        <v>12</v>
      </c>
    </row>
    <row r="4" spans="1:15" ht="30" customHeight="1">
      <c r="A4" s="1">
        <v>1</v>
      </c>
      <c r="B4" s="1" t="s">
        <v>13</v>
      </c>
      <c r="C4" s="10">
        <v>1</v>
      </c>
      <c r="D4" s="10">
        <v>2</v>
      </c>
      <c r="E4" s="10"/>
      <c r="F4" s="10">
        <f>C4+D4+E4</f>
        <v>3</v>
      </c>
      <c r="G4" s="10">
        <v>2</v>
      </c>
      <c r="H4" s="10"/>
      <c r="I4" s="10">
        <f>F4-G4</f>
        <v>1</v>
      </c>
      <c r="J4" s="10">
        <v>5</v>
      </c>
      <c r="K4" s="10">
        <f>I4+J4</f>
        <v>6</v>
      </c>
      <c r="L4" s="10">
        <f>M4-I4-N4</f>
        <v>-1</v>
      </c>
      <c r="M4" s="10">
        <v>5000</v>
      </c>
      <c r="N4" s="10">
        <v>5000</v>
      </c>
      <c r="O4" s="10"/>
    </row>
    <row r="5" spans="1:15" ht="30" customHeight="1">
      <c r="A5" s="1">
        <v>2</v>
      </c>
      <c r="B5" s="1" t="s">
        <v>14</v>
      </c>
      <c r="C5" s="10"/>
      <c r="D5" s="10"/>
      <c r="E5" s="10"/>
      <c r="F5" s="10">
        <f t="shared" ref="F5:F21" si="0">C5+D5+E5</f>
        <v>0</v>
      </c>
      <c r="G5" s="10"/>
      <c r="H5" s="10"/>
      <c r="I5" s="10">
        <f t="shared" ref="I5:I20" si="1">F5-G5</f>
        <v>0</v>
      </c>
      <c r="J5" s="10"/>
      <c r="K5" s="10">
        <f t="shared" ref="K5:K20" si="2">I5+J5</f>
        <v>0</v>
      </c>
      <c r="L5" s="10">
        <f t="shared" ref="L5:L20" si="3">M5-I5-N5</f>
        <v>0</v>
      </c>
      <c r="M5" s="10"/>
      <c r="N5" s="10"/>
      <c r="O5" s="10"/>
    </row>
    <row r="6" spans="1:15" ht="30" customHeight="1">
      <c r="A6" s="1">
        <v>3</v>
      </c>
      <c r="B6" s="1" t="s">
        <v>15</v>
      </c>
      <c r="C6" s="10"/>
      <c r="D6" s="10"/>
      <c r="E6" s="10"/>
      <c r="F6" s="10">
        <f t="shared" si="0"/>
        <v>0</v>
      </c>
      <c r="G6" s="10"/>
      <c r="H6" s="10"/>
      <c r="I6" s="10">
        <f t="shared" si="1"/>
        <v>0</v>
      </c>
      <c r="J6" s="10"/>
      <c r="K6" s="10">
        <f t="shared" si="2"/>
        <v>0</v>
      </c>
      <c r="L6" s="10">
        <f t="shared" si="3"/>
        <v>0</v>
      </c>
      <c r="M6" s="10"/>
      <c r="N6" s="10"/>
      <c r="O6" s="10"/>
    </row>
    <row r="7" spans="1:15" ht="30" customHeight="1">
      <c r="A7" s="1">
        <v>4</v>
      </c>
      <c r="B7" s="1" t="s">
        <v>16</v>
      </c>
      <c r="C7" s="10"/>
      <c r="D7" s="10"/>
      <c r="E7" s="10"/>
      <c r="F7" s="10">
        <f t="shared" si="0"/>
        <v>0</v>
      </c>
      <c r="G7" s="10"/>
      <c r="H7" s="10"/>
      <c r="I7" s="10">
        <f t="shared" si="1"/>
        <v>0</v>
      </c>
      <c r="J7" s="10"/>
      <c r="K7" s="10">
        <f t="shared" si="2"/>
        <v>0</v>
      </c>
      <c r="L7" s="10">
        <f t="shared" si="3"/>
        <v>0</v>
      </c>
      <c r="M7" s="10"/>
      <c r="N7" s="10"/>
      <c r="O7" s="10"/>
    </row>
    <row r="8" spans="1:15" ht="30" customHeight="1">
      <c r="A8" s="1">
        <v>5</v>
      </c>
      <c r="B8" s="1" t="s">
        <v>17</v>
      </c>
      <c r="C8" s="10"/>
      <c r="D8" s="10"/>
      <c r="E8" s="10"/>
      <c r="F8" s="10">
        <f t="shared" si="0"/>
        <v>0</v>
      </c>
      <c r="G8" s="10"/>
      <c r="H8" s="10"/>
      <c r="I8" s="10">
        <f t="shared" si="1"/>
        <v>0</v>
      </c>
      <c r="J8" s="10"/>
      <c r="K8" s="10">
        <f t="shared" si="2"/>
        <v>0</v>
      </c>
      <c r="L8" s="10">
        <f t="shared" si="3"/>
        <v>0</v>
      </c>
      <c r="M8" s="10"/>
      <c r="N8" s="10"/>
      <c r="O8" s="10"/>
    </row>
    <row r="9" spans="1:15" ht="30" customHeight="1">
      <c r="A9" s="1">
        <v>6</v>
      </c>
      <c r="B9" s="1" t="s">
        <v>18</v>
      </c>
      <c r="C9" s="10"/>
      <c r="D9" s="10"/>
      <c r="E9" s="10"/>
      <c r="F9" s="10">
        <f t="shared" si="0"/>
        <v>0</v>
      </c>
      <c r="G9" s="10"/>
      <c r="H9" s="10"/>
      <c r="I9" s="10">
        <f t="shared" si="1"/>
        <v>0</v>
      </c>
      <c r="J9" s="10">
        <v>3</v>
      </c>
      <c r="K9" s="10">
        <f t="shared" si="2"/>
        <v>3</v>
      </c>
      <c r="L9" s="10">
        <f t="shared" si="3"/>
        <v>0</v>
      </c>
      <c r="M9" s="10"/>
      <c r="N9" s="10"/>
      <c r="O9" s="10"/>
    </row>
    <row r="10" spans="1:15" ht="30" customHeight="1">
      <c r="A10" s="1">
        <v>7</v>
      </c>
      <c r="B10" s="1" t="s">
        <v>19</v>
      </c>
      <c r="C10" s="10"/>
      <c r="D10" s="10"/>
      <c r="E10" s="10"/>
      <c r="F10" s="10">
        <f t="shared" si="0"/>
        <v>0</v>
      </c>
      <c r="G10" s="10"/>
      <c r="H10" s="10"/>
      <c r="I10" s="10">
        <f t="shared" si="1"/>
        <v>0</v>
      </c>
      <c r="J10" s="10"/>
      <c r="K10" s="10">
        <f t="shared" si="2"/>
        <v>0</v>
      </c>
      <c r="L10" s="10">
        <f t="shared" si="3"/>
        <v>0</v>
      </c>
      <c r="M10" s="10"/>
      <c r="N10" s="10"/>
      <c r="O10" s="10"/>
    </row>
    <row r="11" spans="1:15" ht="30" customHeight="1">
      <c r="A11" s="1">
        <v>8</v>
      </c>
      <c r="B11" s="1" t="s">
        <v>20</v>
      </c>
      <c r="C11" s="10">
        <v>3</v>
      </c>
      <c r="D11" s="10"/>
      <c r="E11" s="10"/>
      <c r="F11" s="10">
        <f t="shared" si="0"/>
        <v>3</v>
      </c>
      <c r="G11" s="10"/>
      <c r="H11" s="10"/>
      <c r="I11" s="10">
        <f t="shared" si="1"/>
        <v>3</v>
      </c>
      <c r="J11" s="10"/>
      <c r="K11" s="10">
        <f t="shared" si="2"/>
        <v>3</v>
      </c>
      <c r="L11" s="10">
        <f t="shared" si="3"/>
        <v>-3</v>
      </c>
      <c r="M11" s="10"/>
      <c r="N11" s="10"/>
      <c r="O11" s="10"/>
    </row>
    <row r="12" spans="1:15" ht="30" customHeight="1">
      <c r="A12" s="1">
        <v>9</v>
      </c>
      <c r="B12" s="1" t="s">
        <v>21</v>
      </c>
      <c r="C12" s="10"/>
      <c r="D12" s="10">
        <v>6</v>
      </c>
      <c r="E12" s="10"/>
      <c r="F12" s="10">
        <f t="shared" si="0"/>
        <v>6</v>
      </c>
      <c r="G12" s="10"/>
      <c r="H12" s="10">
        <v>34</v>
      </c>
      <c r="I12" s="10">
        <f t="shared" si="1"/>
        <v>6</v>
      </c>
      <c r="J12" s="10"/>
      <c r="K12" s="10">
        <f t="shared" si="2"/>
        <v>6</v>
      </c>
      <c r="L12" s="10">
        <v>400</v>
      </c>
      <c r="M12" s="10">
        <v>700</v>
      </c>
      <c r="N12" s="10"/>
      <c r="O12" s="10"/>
    </row>
    <row r="13" spans="1:15" ht="30" customHeight="1">
      <c r="A13" s="1">
        <v>10</v>
      </c>
      <c r="B13" s="1" t="s">
        <v>22</v>
      </c>
      <c r="C13" s="10"/>
      <c r="D13" s="10"/>
      <c r="E13" s="10"/>
      <c r="F13" s="10">
        <f t="shared" si="0"/>
        <v>0</v>
      </c>
      <c r="G13" s="10"/>
      <c r="H13" s="10"/>
      <c r="I13" s="10">
        <f t="shared" si="1"/>
        <v>0</v>
      </c>
      <c r="J13" s="10"/>
      <c r="K13" s="10">
        <f t="shared" si="2"/>
        <v>0</v>
      </c>
      <c r="L13" s="10">
        <f t="shared" si="3"/>
        <v>500</v>
      </c>
      <c r="M13" s="10">
        <v>600</v>
      </c>
      <c r="N13" s="10">
        <v>100</v>
      </c>
      <c r="O13" s="10"/>
    </row>
    <row r="14" spans="1:15" ht="30" customHeight="1">
      <c r="A14" s="1">
        <v>11</v>
      </c>
      <c r="B14" s="1" t="s">
        <v>23</v>
      </c>
      <c r="C14" s="10"/>
      <c r="D14" s="10"/>
      <c r="E14" s="10"/>
      <c r="F14" s="10">
        <f t="shared" si="0"/>
        <v>0</v>
      </c>
      <c r="G14" s="10"/>
      <c r="H14" s="10"/>
      <c r="I14" s="10">
        <f t="shared" si="1"/>
        <v>0</v>
      </c>
      <c r="J14" s="10">
        <v>4</v>
      </c>
      <c r="K14" s="10">
        <f t="shared" si="2"/>
        <v>4</v>
      </c>
      <c r="L14" s="10">
        <f t="shared" si="3"/>
        <v>-100</v>
      </c>
      <c r="M14" s="10">
        <v>700</v>
      </c>
      <c r="N14" s="10">
        <v>800</v>
      </c>
      <c r="O14" s="10"/>
    </row>
    <row r="15" spans="1:15" ht="30" customHeight="1">
      <c r="A15" s="1">
        <v>12</v>
      </c>
      <c r="B15" s="1" t="s">
        <v>24</v>
      </c>
      <c r="C15" s="10"/>
      <c r="D15" s="10"/>
      <c r="E15" s="10">
        <v>2</v>
      </c>
      <c r="F15" s="10">
        <f t="shared" si="0"/>
        <v>2</v>
      </c>
      <c r="G15" s="10"/>
      <c r="H15" s="10">
        <v>43</v>
      </c>
      <c r="I15" s="10">
        <f t="shared" si="1"/>
        <v>2</v>
      </c>
      <c r="J15" s="10"/>
      <c r="K15" s="10">
        <f t="shared" si="2"/>
        <v>2</v>
      </c>
      <c r="L15" s="10">
        <f t="shared" si="3"/>
        <v>-2</v>
      </c>
      <c r="M15" s="10"/>
      <c r="N15" s="10"/>
      <c r="O15" s="10"/>
    </row>
    <row r="16" spans="1:15" ht="30" customHeight="1">
      <c r="A16" s="1">
        <v>1</v>
      </c>
      <c r="B16" s="1" t="s">
        <v>25</v>
      </c>
      <c r="C16" s="10">
        <v>3</v>
      </c>
      <c r="D16" s="10">
        <v>1</v>
      </c>
      <c r="E16" s="10">
        <v>2</v>
      </c>
      <c r="F16" s="10">
        <f t="shared" si="0"/>
        <v>6</v>
      </c>
      <c r="G16" s="10"/>
      <c r="H16" s="10"/>
      <c r="I16" s="10">
        <f t="shared" si="1"/>
        <v>6</v>
      </c>
      <c r="J16" s="10">
        <v>5</v>
      </c>
      <c r="K16" s="10">
        <f t="shared" si="2"/>
        <v>11</v>
      </c>
      <c r="L16" s="10">
        <f t="shared" si="3"/>
        <v>-6</v>
      </c>
      <c r="M16" s="10"/>
      <c r="N16" s="10"/>
      <c r="O16" s="10"/>
    </row>
    <row r="17" spans="1:15" ht="30" customHeight="1">
      <c r="A17" s="1">
        <v>2</v>
      </c>
      <c r="B17" s="1" t="s">
        <v>26</v>
      </c>
      <c r="C17" s="10"/>
      <c r="D17" s="10">
        <v>2</v>
      </c>
      <c r="E17" s="10">
        <v>12</v>
      </c>
      <c r="F17" s="10">
        <f t="shared" si="0"/>
        <v>14</v>
      </c>
      <c r="G17" s="10"/>
      <c r="H17" s="10">
        <v>23</v>
      </c>
      <c r="I17" s="10">
        <f t="shared" si="1"/>
        <v>14</v>
      </c>
      <c r="J17" s="10"/>
      <c r="K17" s="10">
        <f t="shared" si="2"/>
        <v>14</v>
      </c>
      <c r="L17" s="10">
        <f t="shared" si="3"/>
        <v>-14</v>
      </c>
      <c r="M17" s="10"/>
      <c r="N17" s="10"/>
      <c r="O17" s="10"/>
    </row>
    <row r="18" spans="1:15" ht="30" customHeight="1">
      <c r="A18" s="1">
        <v>3</v>
      </c>
      <c r="B18" s="1" t="s">
        <v>27</v>
      </c>
      <c r="C18" s="10"/>
      <c r="D18" s="10"/>
      <c r="E18" s="10">
        <v>23</v>
      </c>
      <c r="F18" s="10">
        <f t="shared" si="0"/>
        <v>23</v>
      </c>
      <c r="G18" s="10"/>
      <c r="H18" s="10">
        <v>43</v>
      </c>
      <c r="I18" s="10">
        <f t="shared" si="1"/>
        <v>23</v>
      </c>
      <c r="J18" s="10"/>
      <c r="K18" s="10">
        <f t="shared" si="2"/>
        <v>23</v>
      </c>
      <c r="L18" s="10">
        <f t="shared" si="3"/>
        <v>877</v>
      </c>
      <c r="M18" s="10">
        <v>900</v>
      </c>
      <c r="N18" s="10"/>
      <c r="O18" s="10"/>
    </row>
    <row r="19" spans="1:15" ht="30" customHeight="1">
      <c r="A19" s="1">
        <v>4</v>
      </c>
      <c r="B19" s="1" t="s">
        <v>28</v>
      </c>
      <c r="C19" s="10"/>
      <c r="D19" s="10"/>
      <c r="E19" s="10"/>
      <c r="F19" s="10">
        <f t="shared" si="0"/>
        <v>0</v>
      </c>
      <c r="G19" s="10"/>
      <c r="H19" s="10"/>
      <c r="I19" s="10">
        <f t="shared" si="1"/>
        <v>0</v>
      </c>
      <c r="J19" s="10"/>
      <c r="K19" s="10">
        <f t="shared" si="2"/>
        <v>0</v>
      </c>
      <c r="L19" s="10">
        <f t="shared" si="3"/>
        <v>0</v>
      </c>
      <c r="M19" s="10"/>
      <c r="N19" s="10"/>
      <c r="O19" s="10"/>
    </row>
    <row r="20" spans="1:15" ht="30" customHeight="1">
      <c r="A20" s="1">
        <v>5</v>
      </c>
      <c r="B20" s="1" t="s">
        <v>29</v>
      </c>
      <c r="C20" s="10"/>
      <c r="D20" s="10"/>
      <c r="E20" s="10"/>
      <c r="F20" s="10">
        <f t="shared" si="0"/>
        <v>0</v>
      </c>
      <c r="G20" s="10"/>
      <c r="H20" s="10"/>
      <c r="I20" s="10">
        <f t="shared" si="1"/>
        <v>0</v>
      </c>
      <c r="J20" s="10"/>
      <c r="K20" s="10">
        <f t="shared" si="2"/>
        <v>0</v>
      </c>
      <c r="L20" s="10">
        <f t="shared" si="3"/>
        <v>0</v>
      </c>
      <c r="M20" s="10"/>
      <c r="N20" s="10"/>
      <c r="O20" s="10"/>
    </row>
    <row r="21" spans="1:15" s="13" customFormat="1" ht="30" customHeight="1">
      <c r="A21" s="21" t="s">
        <v>30</v>
      </c>
      <c r="B21" s="21"/>
      <c r="C21" s="11">
        <f>SUM(C4:C20)</f>
        <v>7</v>
      </c>
      <c r="D21" s="11">
        <f t="shared" ref="D21:M21" si="4">SUM(D4:D20)</f>
        <v>11</v>
      </c>
      <c r="E21" s="11">
        <f t="shared" si="4"/>
        <v>39</v>
      </c>
      <c r="F21" s="12">
        <f t="shared" si="0"/>
        <v>57</v>
      </c>
      <c r="G21" s="11">
        <f t="shared" si="4"/>
        <v>2</v>
      </c>
      <c r="H21" s="11">
        <f t="shared" si="4"/>
        <v>143</v>
      </c>
      <c r="I21" s="11">
        <f t="shared" si="4"/>
        <v>55</v>
      </c>
      <c r="J21" s="11">
        <f t="shared" si="4"/>
        <v>17</v>
      </c>
      <c r="K21" s="11">
        <f t="shared" si="4"/>
        <v>72</v>
      </c>
      <c r="L21" s="11">
        <f t="shared" si="4"/>
        <v>1651</v>
      </c>
      <c r="M21" s="11">
        <f t="shared" si="4"/>
        <v>7900</v>
      </c>
      <c r="N21" s="11">
        <f t="shared" ref="N21" si="5">SUM(N4:N20)</f>
        <v>5900</v>
      </c>
      <c r="O21" s="12"/>
    </row>
    <row r="22" spans="1:15" ht="30" customHeight="1">
      <c r="A22" s="18" t="s">
        <v>31</v>
      </c>
      <c r="B22" s="18"/>
      <c r="C22" s="10">
        <f>J21</f>
        <v>17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22"/>
      <c r="O22" s="23"/>
    </row>
    <row r="23" spans="1:15" ht="30" customHeight="1">
      <c r="A23" s="18" t="s">
        <v>32</v>
      </c>
      <c r="B23" s="18"/>
      <c r="C23" s="10">
        <f>F21</f>
        <v>57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24"/>
      <c r="O23" s="25"/>
    </row>
    <row r="24" spans="1:15" ht="30" customHeight="1">
      <c r="A24" s="18" t="s">
        <v>33</v>
      </c>
      <c r="B24" s="18"/>
      <c r="C24" s="28"/>
      <c r="D24" s="28"/>
      <c r="E24" s="28"/>
      <c r="F24" s="28"/>
      <c r="G24" s="28"/>
      <c r="H24" s="28"/>
      <c r="I24" s="28"/>
      <c r="J24" s="28"/>
      <c r="K24" s="28"/>
      <c r="L24" s="1"/>
      <c r="M24" s="1"/>
      <c r="N24" s="24"/>
      <c r="O24" s="25"/>
    </row>
    <row r="25" spans="1:15" ht="30" customHeight="1">
      <c r="A25" s="18" t="s">
        <v>34</v>
      </c>
      <c r="B25" s="18"/>
      <c r="C25" s="28"/>
      <c r="D25" s="28"/>
      <c r="E25" s="28"/>
      <c r="F25" s="28"/>
      <c r="G25" s="28"/>
      <c r="H25" s="28"/>
      <c r="I25" s="28"/>
      <c r="J25" s="28"/>
      <c r="K25" s="28"/>
      <c r="L25" s="1"/>
      <c r="M25" s="1"/>
      <c r="N25" s="24"/>
      <c r="O25" s="25"/>
    </row>
    <row r="26" spans="1:15" ht="30" customHeight="1">
      <c r="A26" s="18" t="s">
        <v>35</v>
      </c>
      <c r="B26" s="18"/>
      <c r="C26" s="28">
        <v>20</v>
      </c>
      <c r="D26" s="28"/>
      <c r="E26" s="28"/>
      <c r="F26" s="28"/>
      <c r="G26" s="28"/>
      <c r="H26" s="28"/>
      <c r="I26" s="28"/>
      <c r="J26" s="28"/>
      <c r="K26" s="28"/>
      <c r="L26" s="1"/>
      <c r="M26" s="1"/>
      <c r="N26" s="24"/>
      <c r="O26" s="25"/>
    </row>
    <row r="27" spans="1:15" ht="30" customHeight="1">
      <c r="A27" s="18" t="s">
        <v>36</v>
      </c>
      <c r="B27" s="18"/>
      <c r="C27" s="28">
        <v>2</v>
      </c>
      <c r="D27" s="28"/>
      <c r="E27" s="28"/>
      <c r="F27" s="28"/>
      <c r="G27" s="28"/>
      <c r="H27" s="28"/>
      <c r="I27" s="28"/>
      <c r="J27" s="28"/>
      <c r="K27" s="28"/>
      <c r="L27" s="1"/>
      <c r="M27" s="1"/>
      <c r="N27" s="24"/>
      <c r="O27" s="25"/>
    </row>
    <row r="28" spans="1:15" ht="30" customHeight="1">
      <c r="A28" s="18" t="s">
        <v>37</v>
      </c>
      <c r="B28" s="18"/>
      <c r="C28" s="28"/>
      <c r="D28" s="28"/>
      <c r="E28" s="28"/>
      <c r="F28" s="28"/>
      <c r="G28" s="28"/>
      <c r="H28" s="28"/>
      <c r="I28" s="28"/>
      <c r="J28" s="28"/>
      <c r="K28" s="28"/>
      <c r="L28" s="1"/>
      <c r="M28" s="1"/>
      <c r="N28" s="24"/>
      <c r="O28" s="25"/>
    </row>
    <row r="29" spans="1:15" s="15" customFormat="1" ht="30" customHeight="1">
      <c r="A29" s="19" t="s">
        <v>45</v>
      </c>
      <c r="B29" s="19"/>
      <c r="C29" s="29"/>
      <c r="D29" s="29"/>
      <c r="E29" s="29"/>
      <c r="F29" s="29"/>
      <c r="G29" s="29"/>
      <c r="H29" s="29"/>
      <c r="I29" s="29"/>
      <c r="J29" s="29"/>
      <c r="K29" s="29"/>
      <c r="L29" s="14"/>
      <c r="M29" s="14"/>
      <c r="N29" s="24"/>
      <c r="O29" s="25"/>
    </row>
    <row r="30" spans="1:15" s="15" customFormat="1" ht="30" customHeight="1">
      <c r="A30" s="19" t="s">
        <v>46</v>
      </c>
      <c r="B30" s="19"/>
      <c r="C30" s="29"/>
      <c r="D30" s="29"/>
      <c r="E30" s="29"/>
      <c r="F30" s="29"/>
      <c r="G30" s="29"/>
      <c r="H30" s="29"/>
      <c r="I30" s="29"/>
      <c r="J30" s="29"/>
      <c r="K30" s="29"/>
      <c r="L30" s="14"/>
      <c r="M30" s="14"/>
      <c r="N30" s="24"/>
      <c r="O30" s="25"/>
    </row>
    <row r="31" spans="1:15" s="15" customFormat="1" ht="30" customHeight="1">
      <c r="A31" s="19" t="s">
        <v>47</v>
      </c>
      <c r="B31" s="19"/>
      <c r="C31" s="29"/>
      <c r="D31" s="29"/>
      <c r="E31" s="29"/>
      <c r="F31" s="29"/>
      <c r="G31" s="29"/>
      <c r="H31" s="29"/>
      <c r="I31" s="29"/>
      <c r="J31" s="29"/>
      <c r="K31" s="29"/>
      <c r="L31" s="14"/>
      <c r="M31" s="14"/>
      <c r="N31" s="24"/>
      <c r="O31" s="25"/>
    </row>
    <row r="32" spans="1:15" ht="30" customHeight="1">
      <c r="A32" s="18" t="s">
        <v>38</v>
      </c>
      <c r="B32" s="18"/>
      <c r="C32" s="28">
        <f>C22+C23+C24+C26+C28-C27-C25</f>
        <v>92</v>
      </c>
      <c r="D32" s="28"/>
      <c r="E32" s="28"/>
      <c r="F32" s="28"/>
      <c r="G32" s="28"/>
      <c r="H32" s="28"/>
      <c r="I32" s="28"/>
      <c r="J32" s="28"/>
      <c r="K32" s="28"/>
      <c r="L32" s="1"/>
      <c r="M32" s="1"/>
      <c r="N32" s="26"/>
      <c r="O32" s="27"/>
    </row>
    <row r="33" spans="1:15" ht="30" customHeight="1">
      <c r="A33" s="3"/>
      <c r="B33" s="4" t="s">
        <v>39</v>
      </c>
      <c r="C33" s="5"/>
      <c r="D33" s="5"/>
      <c r="E33" s="5"/>
      <c r="F33" s="5"/>
      <c r="G33" s="5"/>
      <c r="H33" s="5"/>
      <c r="I33" s="5"/>
      <c r="J33" s="5"/>
      <c r="K33" s="5"/>
      <c r="L33" s="5" t="s">
        <v>40</v>
      </c>
      <c r="M33" s="5"/>
      <c r="N33" s="5"/>
      <c r="O33" s="6"/>
    </row>
    <row r="34" spans="1:15" ht="16.8" customHeight="1"/>
    <row r="35" spans="1:15" ht="16.8" customHeight="1"/>
  </sheetData>
  <mergeCells count="15">
    <mergeCell ref="A32:B32"/>
    <mergeCell ref="A23:B23"/>
    <mergeCell ref="A24:B24"/>
    <mergeCell ref="A25:B25"/>
    <mergeCell ref="A26:B26"/>
    <mergeCell ref="A27:B27"/>
    <mergeCell ref="A1:XFD1"/>
    <mergeCell ref="A28:B28"/>
    <mergeCell ref="A29:B29"/>
    <mergeCell ref="A30:B30"/>
    <mergeCell ref="A31:B31"/>
    <mergeCell ref="A2:O2"/>
    <mergeCell ref="A21:B21"/>
    <mergeCell ref="A22:B22"/>
    <mergeCell ref="N22:O32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yanqunzhang</dc:creator>
  <cp:lastModifiedBy>强 魏</cp:lastModifiedBy>
  <dcterms:created xsi:type="dcterms:W3CDTF">2025-10-28T17:59:00Z</dcterms:created>
  <dcterms:modified xsi:type="dcterms:W3CDTF">2026-02-28T10:03:37Z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661A402FCFDD610B78230069C2E202DC_41</vt:lpwstr>
  </property>
  <property fmtid="{D5CDD505-2E9C-101B-9397-08002B2CF9AE}" pid="3" name="KSOProductBuildVer">
    <vt:lpwstr>2052-12.1.23141.23141</vt:lpwstr>
  </property>
</Properties>
</file>